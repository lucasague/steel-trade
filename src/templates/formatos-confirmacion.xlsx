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teeltradeadvisors-my.sharepoint.com/personal/rfernandez_steeltradeadvisors_com/Documents/Escritorio/"/>
    </mc:Choice>
  </mc:AlternateContent>
  <xr:revisionPtr revIDLastSave="0" documentId="8_{1545C3F7-FAFE-41AC-8556-330F6B55B6E7}" xr6:coauthVersionLast="47" xr6:coauthVersionMax="47" xr10:uidLastSave="{00000000-0000-0000-0000-000000000000}"/>
  <bookViews>
    <workbookView xWindow="-120" yWindow="-120" windowWidth="57840" windowHeight="15720" xr2:uid="{D8AA5911-D154-4C41-9AEB-0E1F8366A5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9" i="1" l="1"/>
  <c r="G8" i="1"/>
  <c r="G7" i="1"/>
  <c r="G19" i="1"/>
  <c r="G18" i="1"/>
  <c r="G17" i="1"/>
  <c r="G28" i="1"/>
  <c r="G29" i="1"/>
  <c r="G27" i="1"/>
  <c r="E30" i="1"/>
  <c r="E20" i="1"/>
  <c r="E10" i="1"/>
  <c r="G30" i="1" l="1"/>
  <c r="G31" i="1" s="1"/>
  <c r="A32" i="1" s="1"/>
  <c r="G20" i="1"/>
  <c r="G21" i="1" s="1"/>
  <c r="A22" i="1" s="1"/>
  <c r="G10" i="1"/>
  <c r="G11" i="1" s="1"/>
  <c r="A12" i="1" s="1"/>
</calcChain>
</file>

<file path=xl/sharedStrings.xml><?xml version="1.0" encoding="utf-8"?>
<sst xmlns="http://schemas.openxmlformats.org/spreadsheetml/2006/main" count="38" uniqueCount="16">
  <si>
    <t>ITEM</t>
  </si>
  <si>
    <t>IVA 21%</t>
  </si>
  <si>
    <t>ITEM DE COMPRA</t>
  </si>
  <si>
    <t xml:space="preserve">CANTIDAD (MT) </t>
  </si>
  <si>
    <t>PRECIO (EUR/MT)</t>
  </si>
  <si>
    <t>TOTAL EUR</t>
  </si>
  <si>
    <t xml:space="preserve">ESPECIFICACIÓN </t>
  </si>
  <si>
    <t>NUMERO DE BOBINA</t>
  </si>
  <si>
    <t>UNIDADES</t>
  </si>
  <si>
    <t>FORMATO 1</t>
  </si>
  <si>
    <t xml:space="preserve">FORMATO 2 </t>
  </si>
  <si>
    <t xml:space="preserve">AGRUPADO </t>
  </si>
  <si>
    <t>DETALLADO</t>
  </si>
  <si>
    <t>FORMATO 3</t>
  </si>
  <si>
    <t xml:space="preserve">CHAPA </t>
  </si>
  <si>
    <t>AGRUPADO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</si>
</sst>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4" fontId="3" fillId="0" borderId="4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4" fontId="2" fillId="0" borderId="4" xfId="0" applyNumberFormat="1" applyFont="1" applyBorder="1" applyAlignment="1">
      <alignment horizontal="right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/>
    </xf>
    <xf numFmtId="4" fontId="2" fillId="0" borderId="6" xfId="0" applyNumberFormat="1" applyFont="1" applyBorder="1" applyAlignment="1">
      <alignment horizontal="right" vertical="center"/>
    </xf>
    <xf numFmtId="4" fontId="2" fillId="0" borderId="7" xfId="0" applyNumberFormat="1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right" vertical="center"/>
    </xf>
    <xf numFmtId="0" fontId="2" fillId="0" borderId="6" xfId="0" applyFont="1" applyBorder="1" applyAlignment="1">
      <alignment horizontal="right" vertical="center"/>
    </xf>
    <xf numFmtId="0" fontId="2" fillId="0" borderId="7" xfId="0" applyFont="1" applyBorder="1" applyAlignment="1">
      <alignment horizontal="right" vertical="center"/>
    </xf>
    <xf numFmtId="0" fontId="4" fillId="0" borderId="6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2" fillId="0" borderId="6" xfId="0" applyFont="1" applyBorder="1" applyAlignment="1">
      <alignment vertical="center"/>
    </xf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637F7-ABDD-4A98-9254-8C88CEE0B347}">
  <dimension ref="A4:H32"/>
  <sheetViews>
    <sheetView tabSelected="1" workbookViewId="0">
      <selection activeCell="D24" sqref="D24"/>
    </sheetView>
  </sheetViews>
  <sheetFormatPr baseColWidth="10" defaultRowHeight="15" x14ac:dyDescent="0.25"/>
  <cols>
    <col min="2" max="2" width="17.7109375" customWidth="1"/>
    <col min="3" max="3" width="13.140625" customWidth="1"/>
    <col min="4" max="4" width="19.5703125" bestFit="1" customWidth="1"/>
    <col min="5" max="5" width="18.28515625" customWidth="1"/>
    <col min="6" max="6" width="21.140625" customWidth="1"/>
    <col min="7" max="7" width="21.5703125" customWidth="1"/>
  </cols>
  <sheetData>
    <row r="4" spans="1:7" x14ac:dyDescent="0.25">
      <c r="A4" s="25" t="s">
        <v>9</v>
      </c>
      <c r="C4" s="26" t="s">
        <v>11</v>
      </c>
    </row>
    <row r="5" spans="1:7" ht="15.75" thickBot="1" x14ac:dyDescent="0.3"/>
    <row r="6" spans="1:7" ht="15.75" thickBot="1" x14ac:dyDescent="0.3">
      <c r="A6" s="1" t="s">
        <v>0</v>
      </c>
      <c r="B6" s="16" t="s">
        <v>6</v>
      </c>
      <c r="C6" s="16"/>
      <c r="D6" s="15"/>
      <c r="E6" s="2" t="s">
        <v>3</v>
      </c>
      <c r="F6" s="2" t="s">
        <v>4</v>
      </c>
      <c r="G6" s="2" t="s">
        <v>5</v>
      </c>
    </row>
    <row r="7" spans="1:7" ht="15.75" thickBot="1" x14ac:dyDescent="0.3">
      <c r="A7" s="3">
        <v>1</v>
      </c>
      <c r="B7" s="20" t="s">
        <v>2</v>
      </c>
      <c r="C7" s="20"/>
      <c r="D7" s="21"/>
      <c r="E7" s="4">
        <v>200</v>
      </c>
      <c r="F7" s="4">
        <v>860</v>
      </c>
      <c r="G7" s="5">
        <f>F7*E7</f>
        <v>172000</v>
      </c>
    </row>
    <row r="8" spans="1:7" ht="15.75" thickBot="1" x14ac:dyDescent="0.3">
      <c r="A8" s="3">
        <v>2</v>
      </c>
      <c r="B8" s="20" t="s">
        <v>2</v>
      </c>
      <c r="C8" s="20"/>
      <c r="D8" s="21"/>
      <c r="E8" s="4">
        <v>200</v>
      </c>
      <c r="F8" s="4">
        <v>860</v>
      </c>
      <c r="G8" s="5">
        <f t="shared" ref="G8:G9" si="0">F8*E8</f>
        <v>172000</v>
      </c>
    </row>
    <row r="9" spans="1:7" ht="15.75" thickBot="1" x14ac:dyDescent="0.3">
      <c r="A9" s="3">
        <v>3</v>
      </c>
      <c r="B9" s="20" t="s">
        <v>2</v>
      </c>
      <c r="C9" s="20"/>
      <c r="D9" s="21"/>
      <c r="E9" s="4">
        <v>200</v>
      </c>
      <c r="F9" s="4">
        <v>860</v>
      </c>
      <c r="G9" s="5">
        <f t="shared" si="0"/>
        <v>172000</v>
      </c>
    </row>
    <row r="10" spans="1:7" ht="15.75" thickBot="1" x14ac:dyDescent="0.3">
      <c r="A10" s="9"/>
      <c r="B10" s="10"/>
      <c r="C10" s="10"/>
      <c r="D10" s="11"/>
      <c r="E10" s="6">
        <f>SUM(E7:E9)</f>
        <v>600</v>
      </c>
      <c r="F10" s="7"/>
      <c r="G10" s="8">
        <f>SUM(G7:G9)</f>
        <v>516000</v>
      </c>
    </row>
    <row r="11" spans="1:7" ht="15.75" thickBot="1" x14ac:dyDescent="0.3">
      <c r="A11" s="17" t="s">
        <v>1</v>
      </c>
      <c r="B11" s="18"/>
      <c r="C11" s="18"/>
      <c r="D11" s="18"/>
      <c r="E11" s="18"/>
      <c r="F11" s="19"/>
      <c r="G11" s="8">
        <f>G10*0.21</f>
        <v>108360</v>
      </c>
    </row>
    <row r="12" spans="1:7" ht="15.75" thickBot="1" x14ac:dyDescent="0.3">
      <c r="A12" s="12">
        <f>G11+G10</f>
        <v>624360</v>
      </c>
      <c r="B12" s="13"/>
      <c r="C12" s="13"/>
      <c r="D12" s="13"/>
      <c r="E12" s="13"/>
      <c r="F12" s="13"/>
      <c r="G12" s="14"/>
    </row>
    <row r="14" spans="1:7" x14ac:dyDescent="0.25">
      <c r="A14" s="25" t="s">
        <v>10</v>
      </c>
      <c r="C14" s="26" t="s">
        <v>12</v>
      </c>
    </row>
    <row r="15" spans="1:7" ht="15.75" thickBot="1" x14ac:dyDescent="0.3"/>
    <row r="16" spans="1:7" ht="15.75" thickBot="1" x14ac:dyDescent="0.3">
      <c r="A16" s="1" t="s">
        <v>0</v>
      </c>
      <c r="B16" s="16" t="s">
        <v>6</v>
      </c>
      <c r="C16" s="16"/>
      <c r="D16" s="15"/>
      <c r="E16" s="2" t="s">
        <v>3</v>
      </c>
      <c r="F16" s="2" t="s">
        <v>4</v>
      </c>
      <c r="G16" s="2" t="s">
        <v>5</v>
      </c>
    </row>
    <row r="17" spans="1:7" ht="15.75" thickBot="1" x14ac:dyDescent="0.3">
      <c r="A17" s="3">
        <v>1</v>
      </c>
      <c r="B17" s="23" t="s">
        <v>2</v>
      </c>
      <c r="C17" s="20" t="s">
        <v>7</v>
      </c>
      <c r="D17" s="21"/>
      <c r="E17" s="4">
        <v>200</v>
      </c>
      <c r="F17" s="4">
        <v>860</v>
      </c>
      <c r="G17" s="5">
        <f>F17*E17</f>
        <v>172000</v>
      </c>
    </row>
    <row r="18" spans="1:7" ht="15.75" thickBot="1" x14ac:dyDescent="0.3">
      <c r="A18" s="3">
        <v>2</v>
      </c>
      <c r="B18" s="23" t="s">
        <v>2</v>
      </c>
      <c r="C18" s="20" t="s">
        <v>7</v>
      </c>
      <c r="D18" s="21"/>
      <c r="E18" s="4">
        <v>200</v>
      </c>
      <c r="F18" s="4">
        <v>860</v>
      </c>
      <c r="G18" s="5">
        <f t="shared" ref="G18:G19" si="1">F18*E18</f>
        <v>172000</v>
      </c>
    </row>
    <row r="19" spans="1:7" ht="15.75" thickBot="1" x14ac:dyDescent="0.3">
      <c r="A19" s="3">
        <v>3</v>
      </c>
      <c r="B19" s="23" t="s">
        <v>2</v>
      </c>
      <c r="C19" s="20" t="s">
        <v>7</v>
      </c>
      <c r="D19" s="21"/>
      <c r="E19" s="4">
        <v>200</v>
      </c>
      <c r="F19" s="4">
        <v>860</v>
      </c>
      <c r="G19" s="5">
        <f t="shared" si="1"/>
        <v>172000</v>
      </c>
    </row>
    <row r="20" spans="1:7" ht="15.75" thickBot="1" x14ac:dyDescent="0.3">
      <c r="A20" s="9"/>
      <c r="B20" s="10"/>
      <c r="C20" s="10"/>
      <c r="D20" s="11"/>
      <c r="E20" s="6">
        <f>SUM(E17:E19)</f>
        <v>600</v>
      </c>
      <c r="F20" s="7"/>
      <c r="G20" s="8">
        <f>SUM(G17:G19)</f>
        <v>516000</v>
      </c>
    </row>
    <row r="21" spans="1:7" ht="15.75" thickBot="1" x14ac:dyDescent="0.3">
      <c r="A21" s="17" t="s">
        <v>1</v>
      </c>
      <c r="B21" s="18"/>
      <c r="C21" s="18"/>
      <c r="D21" s="18"/>
      <c r="E21" s="18"/>
      <c r="F21" s="19"/>
      <c r="G21" s="8">
        <f>G20*0.21</f>
        <v>108360</v>
      </c>
    </row>
    <row r="22" spans="1:7" ht="15.75" thickBot="1" x14ac:dyDescent="0.3">
      <c r="A22" s="12">
        <f>G21+G20</f>
        <v>624360</v>
      </c>
      <c r="B22" s="13"/>
      <c r="C22" s="13"/>
      <c r="D22" s="13"/>
      <c r="E22" s="13"/>
      <c r="F22" s="13"/>
      <c r="G22" s="14"/>
    </row>
    <row r="24" spans="1:7" x14ac:dyDescent="0.25">
      <c r="A24" s="25" t="s">
        <v>13</v>
      </c>
      <c r="C24" s="26" t="s">
        <v>14</v>
      </c>
      <c r="D24" t="s">
        <v>15</v>
      </c>
    </row>
    <row r="25" spans="1:7" ht="15.75" thickBot="1" x14ac:dyDescent="0.3"/>
    <row r="26" spans="1:7" ht="15.75" thickBot="1" x14ac:dyDescent="0.3">
      <c r="A26" s="1" t="s">
        <v>0</v>
      </c>
      <c r="B26" s="24" t="s">
        <v>6</v>
      </c>
      <c r="C26" s="24"/>
      <c r="D26" s="2" t="s">
        <v>8</v>
      </c>
      <c r="E26" s="2" t="s">
        <v>3</v>
      </c>
      <c r="F26" s="2" t="s">
        <v>4</v>
      </c>
      <c r="G26" s="2" t="s">
        <v>5</v>
      </c>
    </row>
    <row r="27" spans="1:7" ht="15.75" thickBot="1" x14ac:dyDescent="0.3">
      <c r="A27" s="3">
        <v>1</v>
      </c>
      <c r="B27" s="23" t="s">
        <v>2</v>
      </c>
      <c r="C27" s="23"/>
      <c r="D27" s="22">
        <v>50</v>
      </c>
      <c r="E27" s="4">
        <v>200</v>
      </c>
      <c r="F27" s="4">
        <v>860</v>
      </c>
      <c r="G27" s="5">
        <f>F27*E27</f>
        <v>172000</v>
      </c>
    </row>
    <row r="28" spans="1:7" ht="15.75" thickBot="1" x14ac:dyDescent="0.3">
      <c r="A28" s="3">
        <v>2</v>
      </c>
      <c r="B28" s="23" t="s">
        <v>2</v>
      </c>
      <c r="C28" s="23"/>
      <c r="D28" s="22">
        <v>55</v>
      </c>
      <c r="E28" s="4">
        <v>210</v>
      </c>
      <c r="F28" s="4">
        <v>860</v>
      </c>
      <c r="G28" s="5">
        <f t="shared" ref="G28:G29" si="2">F28*E28</f>
        <v>180600</v>
      </c>
    </row>
    <row r="29" spans="1:7" ht="15.75" thickBot="1" x14ac:dyDescent="0.3">
      <c r="A29" s="3">
        <v>3</v>
      </c>
      <c r="B29" s="23" t="s">
        <v>2</v>
      </c>
      <c r="C29" s="23"/>
      <c r="D29" s="22">
        <v>24</v>
      </c>
      <c r="E29" s="4">
        <v>100</v>
      </c>
      <c r="F29" s="4">
        <v>860</v>
      </c>
      <c r="G29" s="5">
        <f t="shared" si="2"/>
        <v>86000</v>
      </c>
    </row>
    <row r="30" spans="1:7" ht="15.75" thickBot="1" x14ac:dyDescent="0.3">
      <c r="A30" s="9"/>
      <c r="B30" s="10"/>
      <c r="C30" s="10"/>
      <c r="D30" s="11"/>
      <c r="E30" s="6">
        <f>SUM(E27:E29)</f>
        <v>510</v>
      </c>
      <c r="F30" s="7"/>
      <c r="G30" s="8">
        <f>SUM(G27:G29)</f>
        <v>438600</v>
      </c>
    </row>
    <row r="31" spans="1:7" ht="15.75" thickBot="1" x14ac:dyDescent="0.3">
      <c r="A31" s="17" t="s">
        <v>1</v>
      </c>
      <c r="B31" s="18"/>
      <c r="C31" s="18"/>
      <c r="D31" s="18"/>
      <c r="E31" s="18"/>
      <c r="F31" s="19"/>
      <c r="G31" s="8">
        <f>G30*0.21</f>
        <v>92106</v>
      </c>
    </row>
    <row r="32" spans="1:7" ht="15.75" thickBot="1" x14ac:dyDescent="0.3">
      <c r="A32" s="12">
        <f>G31+G30</f>
        <v>530706</v>
      </c>
      <c r="B32" s="13"/>
      <c r="C32" s="13"/>
      <c r="D32" s="13"/>
      <c r="E32" s="13"/>
      <c r="F32" s="13"/>
      <c r="G32" s="14"/>
    </row>
  </sheetData>
  <mergeCells count="17">
    <mergeCell ref="A22:G22"/>
    <mergeCell ref="A30:D30"/>
    <mergeCell ref="A31:F31"/>
    <mergeCell ref="A32:G32"/>
    <mergeCell ref="C17:D17"/>
    <mergeCell ref="C18:D18"/>
    <mergeCell ref="C19:D19"/>
    <mergeCell ref="B16:D16"/>
    <mergeCell ref="A20:D20"/>
    <mergeCell ref="A21:F21"/>
    <mergeCell ref="A10:D10"/>
    <mergeCell ref="A11:F11"/>
    <mergeCell ref="A12:G12"/>
    <mergeCell ref="B6:D6"/>
    <mergeCell ref="B7:D7"/>
    <mergeCell ref="B8:D8"/>
    <mergeCell ref="B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Rocío Fernández</dc:creator>
  <cp:lastModifiedBy>Rocío Fernández</cp:lastModifiedBy>
  <dcterms:created xsi:type="dcterms:W3CDTF">2026-06-24T08:07:25Z</dcterms:created>
  <dcterms:modified xsi:type="dcterms:W3CDTF">2026-06-24T09:18:43Z</dcterms:modified>
</cp:coreProperties>
</file>